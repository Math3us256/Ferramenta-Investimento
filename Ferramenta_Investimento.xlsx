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rramenta" sheetId="1" r:id="rId5"/>
    <sheet state="visible" name="Tabela de Apoio" sheetId="2" r:id="rId6"/>
  </sheets>
  <definedNames>
    <definedName name="prazo_anos">Ferramenta!$D$19</definedName>
    <definedName name="salario">Ferramenta!$D$13</definedName>
    <definedName name="perfil_selecionado">Ferramenta!$C$31</definedName>
    <definedName name="Aporte">Ferramenta!$D$18</definedName>
    <definedName name="patrimonio_acumulado">Ferramenta!$D$21</definedName>
    <definedName name="Rendimento_Carteira">Ferramenta!$D$14</definedName>
    <definedName name="taxa_mensal">Ferramenta!$D$20</definedName>
    <definedName name="valor_investir_mensal">Ferramenta!$C$32</definedName>
    <definedName name="sugestao_investimento">Ferramenta!$D$15</definedName>
  </definedNames>
  <calcPr/>
</workbook>
</file>

<file path=xl/sharedStrings.xml><?xml version="1.0" encoding="utf-8"?>
<sst xmlns="http://schemas.openxmlformats.org/spreadsheetml/2006/main" count="70" uniqueCount="34">
  <si>
    <t>Alocação de FIIs por Perfil</t>
  </si>
  <si>
    <t>Diretrizes e percentuais recomendados por categoria de fundo imobiliário</t>
  </si>
  <si>
    <t>Chave</t>
  </si>
  <si>
    <t>Perfil</t>
  </si>
  <si>
    <t>TIPO DE FII</t>
  </si>
  <si>
    <t>%</t>
  </si>
  <si>
    <t>Chave de Busca</t>
  </si>
  <si>
    <t>% Alocado</t>
  </si>
  <si>
    <t>Conservador</t>
  </si>
  <si>
    <t>PAPEL</t>
  </si>
  <si>
    <t>Moderado-TIJOLO</t>
  </si>
  <si>
    <t>TIJOLO</t>
  </si>
  <si>
    <t>HÍBRIDOS</t>
  </si>
  <si>
    <t>FOFs</t>
  </si>
  <si>
    <t>DESENVOLVIMENTO</t>
  </si>
  <si>
    <t>HOTELARIAS</t>
  </si>
  <si>
    <t>Moderado</t>
  </si>
  <si>
    <t>Agressivo</t>
  </si>
  <si>
    <t>Configurações</t>
  </si>
  <si>
    <t>Salário</t>
  </si>
  <si>
    <t>Rendimento Carteira</t>
  </si>
  <si>
    <t>Sugestão de investimento (30%)</t>
  </si>
  <si>
    <t>Investimento Mensal</t>
  </si>
  <si>
    <t>Quanto investir por mês?</t>
  </si>
  <si>
    <t>Por quantos anos?</t>
  </si>
  <si>
    <t>Taxa de rendimento mensal</t>
  </si>
  <si>
    <t>Patrimônio acumulado</t>
  </si>
  <si>
    <t>Dividendos mensais</t>
  </si>
  <si>
    <t>Cenários</t>
  </si>
  <si>
    <t>Dividendo</t>
  </si>
  <si>
    <t>Valor a ser investido por mês</t>
  </si>
  <si>
    <t>Percentual sugerido</t>
  </si>
  <si>
    <t>Valores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</si>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</sst>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&quot;R$&quot;\ #,##0.00"/>
    <numFmt numFmtId="166" formatCode="&quot;R$&quot;\ #,##0.00;[Red]\-&quot;R$&quot;\ #,##0.00"/>
    <numFmt numFmtId="167" formatCode="&quot;Quanto em &quot;0&quot; anos?&quot;"/>
  </numFmts>
  <fonts count="14">
    <font>
      <sz val="11.0"/>
      <color theme="1"/>
      <name val="Roboto"/>
      <scheme val="minor"/>
    </font>
    <font>
      <b/>
      <sz val="14.0"/>
      <color rgb="FF013B3F"/>
      <name val="Roboto"/>
    </font>
    <font>
      <i/>
      <sz val="10.0"/>
      <color rgb="FF53687E"/>
      <name val="Roboto"/>
    </font>
    <font>
      <b/>
      <sz val="10.0"/>
      <color rgb="FFFFFFFF"/>
      <name val="Roboto"/>
    </font>
    <font>
      <sz val="10.0"/>
      <color rgb="FF013B3F"/>
      <name val="Roboto"/>
    </font>
    <font>
      <b/>
      <sz val="10.0"/>
      <color rgb="FF013B3F"/>
      <name val="Roboto"/>
    </font>
    <font>
      <b/>
      <sz val="13.0"/>
      <color rgb="FFFFFFFF"/>
      <name val="Roboto"/>
    </font>
    <font/>
    <font>
      <sz val="11.0"/>
      <color theme="1"/>
      <name val="Calibri"/>
    </font>
    <font>
      <b/>
      <sz val="11.0"/>
      <color rgb="FF013B3F"/>
      <name val="Roboto"/>
    </font>
    <font>
      <b/>
      <sz val="12.0"/>
      <color rgb="FFFFFFFF"/>
      <name val="Roboto"/>
    </font>
    <font>
      <b/>
      <sz val="11.0"/>
      <color theme="1"/>
      <name val="Calibri"/>
    </font>
    <font>
      <b/>
      <sz val="11.0"/>
      <color rgb="FFFFFFFF"/>
      <name val="Roboto"/>
    </font>
    <font>
      <b/>
      <sz val="12.0"/>
      <color rgb="FF013B3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013B3F"/>
        <bgColor rgb="FF013B3F"/>
      </patternFill>
    </fill>
    <fill>
      <patternFill patternType="solid">
        <fgColor rgb="FFFFFFFF"/>
        <bgColor rgb="FFFFFFFF"/>
      </patternFill>
    </fill>
    <fill>
      <patternFill patternType="solid">
        <fgColor rgb="FFF4F6F6"/>
        <bgColor rgb="FFF4F6F6"/>
      </patternFill>
    </fill>
    <fill>
      <patternFill patternType="solid">
        <fgColor rgb="FFC1D3CD"/>
        <bgColor rgb="FFC1D3CD"/>
      </patternFill>
    </fill>
  </fills>
  <borders count="29">
    <border/>
    <border>
      <left style="medium">
        <color rgb="FF013B3F"/>
      </left>
      <right style="thin">
        <color rgb="FFAFBFBF"/>
      </right>
      <top style="medium">
        <color rgb="FF013B3F"/>
      </top>
      <bottom style="medium">
        <color rgb="FF013B3F"/>
      </bottom>
    </border>
    <border>
      <left style="thin">
        <color rgb="FFAFBFBF"/>
      </left>
      <right style="thin">
        <color rgb="FFAFBFBF"/>
      </right>
      <top style="medium">
        <color rgb="FF013B3F"/>
      </top>
      <bottom style="medium">
        <color rgb="FF013B3F"/>
      </bottom>
    </border>
    <border>
      <left style="thin">
        <color rgb="FFAFBFBF"/>
      </left>
      <right style="medium">
        <color rgb="FF013B3F"/>
      </right>
      <top style="medium">
        <color rgb="FF013B3F"/>
      </top>
      <bottom style="medium">
        <color rgb="FF013B3F"/>
      </bottom>
    </border>
    <border>
      <left style="medium">
        <color rgb="FF013B3F"/>
      </left>
      <right style="thin">
        <color rgb="FFAFBFBF"/>
      </right>
      <bottom style="thin">
        <color rgb="FFAFBFBF"/>
      </bottom>
    </border>
    <border>
      <left style="thin">
        <color rgb="FFAFBFBF"/>
      </left>
      <right style="thin">
        <color rgb="FFAFBFBF"/>
      </right>
      <bottom style="thin">
        <color rgb="FFAFBFBF"/>
      </bottom>
    </border>
    <border>
      <left style="thin">
        <color rgb="FFAFBFBF"/>
      </left>
      <right style="medium">
        <color rgb="FF013B3F"/>
      </right>
      <bottom style="thin">
        <color rgb="FFAFBFBF"/>
      </bottom>
    </border>
    <border>
      <left style="medium">
        <color rgb="FF013B3F"/>
      </left>
      <right style="thin">
        <color rgb="FFAFBFBF"/>
      </right>
      <bottom style="medium">
        <color rgb="FF013B3F"/>
      </bottom>
    </border>
    <border>
      <left style="thin">
        <color rgb="FFAFBFBF"/>
      </left>
      <right style="medium">
        <color rgb="FF013B3F"/>
      </right>
      <bottom style="medium">
        <color rgb="FF013B3F"/>
      </bottom>
    </border>
    <border>
      <left style="medium">
        <color rgb="FF013B3F"/>
      </left>
      <right style="thin">
        <color rgb="FFAFBFBF"/>
      </right>
      <top style="thin">
        <color rgb="FFAFBFBF"/>
      </top>
      <bottom style="thin">
        <color rgb="FFAFBFBF"/>
      </bottom>
    </border>
    <border>
      <left style="thin">
        <color rgb="FFAFBFBF"/>
      </left>
      <right style="thin">
        <color rgb="FFAFBFBF"/>
      </right>
      <top style="thin">
        <color rgb="FFAFBFBF"/>
      </top>
      <bottom style="thin">
        <color rgb="FFAFBFBF"/>
      </bottom>
    </border>
    <border>
      <left style="thin">
        <color rgb="FFAFBFBF"/>
      </left>
      <right style="medium">
        <color rgb="FF013B3F"/>
      </right>
      <top style="thin">
        <color rgb="FFAFBFBF"/>
      </top>
      <bottom style="thin">
        <color rgb="FFAFBFBF"/>
      </bottom>
    </border>
    <border>
      <left style="medium">
        <color rgb="FF013B3F"/>
      </left>
      <right style="thin">
        <color rgb="FFAFBFBF"/>
      </right>
      <top style="thin">
        <color rgb="FFAFBFBF"/>
      </top>
      <bottom style="medium">
        <color rgb="FF013B3F"/>
      </bottom>
    </border>
    <border>
      <left style="thin">
        <color rgb="FFAFBFBF"/>
      </left>
      <right style="thin">
        <color rgb="FFAFBFBF"/>
      </right>
      <top style="thin">
        <color rgb="FFAFBFBF"/>
      </top>
      <bottom style="medium">
        <color rgb="FF013B3F"/>
      </bottom>
    </border>
    <border>
      <left style="thin">
        <color rgb="FFAFBFBF"/>
      </left>
      <right style="medium">
        <color rgb="FF013B3F"/>
      </right>
      <top style="thin">
        <color rgb="FFAFBFBF"/>
      </top>
      <bottom style="medium">
        <color rgb="FF013B3F"/>
      </bottom>
    </border>
    <border>
      <left style="medium">
        <color rgb="FF013B3F"/>
      </left>
      <top style="medium">
        <color rgb="FF013B3F"/>
      </top>
      <bottom style="thin">
        <color rgb="FFAFBFBF"/>
      </bottom>
    </border>
    <border>
      <top style="medium">
        <color rgb="FF013B3F"/>
      </top>
      <bottom style="thin">
        <color rgb="FFAFBFBF"/>
      </bottom>
    </border>
    <border>
      <right style="medium">
        <color rgb="FF013B3F"/>
      </right>
      <top style="medium">
        <color rgb="FF013B3F"/>
      </top>
      <bottom style="thin">
        <color rgb="FFAFBFBF"/>
      </bottom>
    </border>
    <border>
      <left style="medium">
        <color rgb="FF013B3F"/>
      </left>
      <top style="thin">
        <color rgb="FFAFBFBF"/>
      </top>
      <bottom style="thin">
        <color rgb="FFAFBFBF"/>
      </bottom>
    </border>
    <border>
      <right style="thin">
        <color rgb="FFAFBFBF"/>
      </right>
      <top style="thin">
        <color rgb="FFAFBFBF"/>
      </top>
      <bottom style="thin">
        <color rgb="FFAFBFBF"/>
      </bottom>
    </border>
    <border>
      <left style="medium">
        <color rgb="FF013B3F"/>
      </left>
      <top style="thin">
        <color rgb="FFAFBFBF"/>
      </top>
      <bottom style="medium">
        <color rgb="FF013B3F"/>
      </bottom>
    </border>
    <border>
      <right style="thin">
        <color rgb="FFAFBFBF"/>
      </right>
      <top style="thin">
        <color rgb="FFAFBFBF"/>
      </top>
      <bottom style="medium">
        <color rgb="FF013B3F"/>
      </bottom>
    </border>
    <border>
      <right style="thin">
        <color rgb="FFAFBFBF"/>
      </right>
      <top style="medium">
        <color rgb="FF013B3F"/>
      </top>
      <bottom style="thin">
        <color rgb="FFAFBFBF"/>
      </bottom>
    </border>
    <border>
      <left style="thin">
        <color rgb="FFAFBFBF"/>
      </left>
      <right style="medium">
        <color rgb="FF013B3F"/>
      </right>
      <top style="medium">
        <color rgb="FF013B3F"/>
      </top>
      <bottom style="thin">
        <color rgb="FFAFBFBF"/>
      </bottom>
    </border>
    <border>
      <left style="medium">
        <color rgb="FF013B3F"/>
      </left>
      <right style="thin">
        <color rgb="FFAFBFBF"/>
      </right>
      <top style="medium">
        <color rgb="FF013B3F"/>
      </top>
      <bottom style="thin">
        <color rgb="FFAFBFBF"/>
      </bottom>
    </border>
    <border>
      <left style="thin">
        <color rgb="FFAFBFBF"/>
      </left>
      <top style="medium">
        <color rgb="FF013B3F"/>
      </top>
      <bottom style="thin">
        <color rgb="FFAFBFBF"/>
      </bottom>
    </border>
    <border>
      <left style="thin">
        <color rgb="FFAFBFBF"/>
      </left>
      <top style="thin">
        <color rgb="FFAFBFBF"/>
      </top>
      <bottom style="medium">
        <color rgb="FF013B3F"/>
      </bottom>
    </border>
    <border>
      <right style="medium">
        <color rgb="FF013B3F"/>
      </right>
      <top style="thin">
        <color rgb="FFAFBFBF"/>
      </top>
      <bottom style="medium">
        <color rgb="FF013B3F"/>
      </bottom>
    </border>
    <border>
      <left style="thin">
        <color rgb="FFAFBFBF"/>
      </left>
      <right style="thin">
        <color rgb="FFAFBFBF"/>
      </right>
      <top style="medium">
        <color rgb="FF013B3F"/>
      </top>
      <bottom style="thin">
        <color rgb="FFAFBFBF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ill="1" applyFont="1">
      <alignment horizontal="center" vertical="center"/>
    </xf>
    <xf borderId="3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ill="1" applyFont="1">
      <alignment horizontal="center" readingOrder="0" vertical="center"/>
    </xf>
    <xf borderId="3" fillId="2" fontId="3" numFmtId="0" xfId="0" applyAlignment="1" applyBorder="1" applyFill="1" applyFont="1">
      <alignment horizontal="center" readingOrder="0" vertical="center"/>
    </xf>
    <xf borderId="4" fillId="3" fontId="4" numFmtId="0" xfId="0" applyAlignment="1" applyBorder="1" applyFill="1" applyFont="1">
      <alignment horizontal="center" vertical="center"/>
    </xf>
    <xf borderId="5" fillId="3" fontId="4" numFmtId="0" xfId="0" applyAlignment="1" applyBorder="1" applyFill="1" applyFont="1">
      <alignment horizontal="left" vertical="center"/>
    </xf>
    <xf borderId="6" fillId="3" fontId="5" numFmtId="9" xfId="0" applyAlignment="1" applyBorder="1" applyFill="1" applyFont="1" applyNumberFormat="1">
      <alignment horizontal="center" vertical="center"/>
    </xf>
    <xf borderId="7" fillId="3" fontId="4" numFmtId="0" xfId="0" applyAlignment="1" applyBorder="1" applyFill="1" applyFont="1">
      <alignment horizontal="center" vertical="center"/>
    </xf>
    <xf borderId="8" fillId="3" fontId="5" numFmtId="9" xfId="0" applyAlignment="1" applyBorder="1" applyFill="1" applyFont="1" applyNumberFormat="1">
      <alignment horizontal="center" vertical="center"/>
    </xf>
    <xf borderId="9" fillId="4" fontId="4" numFmtId="0" xfId="0" applyAlignment="1" applyBorder="1" applyFill="1" applyFont="1">
      <alignment horizontal="center" vertical="center"/>
    </xf>
    <xf borderId="10" fillId="4" fontId="4" numFmtId="0" xfId="0" applyAlignment="1" applyBorder="1" applyFill="1" applyFont="1">
      <alignment horizontal="left" vertical="center"/>
    </xf>
    <xf borderId="11" fillId="4" fontId="5" numFmtId="9" xfId="0" applyAlignment="1" applyBorder="1" applyFill="1" applyFont="1" applyNumberFormat="1">
      <alignment horizontal="center" vertical="center"/>
    </xf>
    <xf borderId="9" fillId="3" fontId="4" numFmtId="0" xfId="0" applyAlignment="1" applyBorder="1" applyFill="1" applyFont="1">
      <alignment horizontal="center" vertical="center"/>
    </xf>
    <xf borderId="10" fillId="3" fontId="4" numFmtId="0" xfId="0" applyAlignment="1" applyBorder="1" applyFill="1" applyFont="1">
      <alignment horizontal="left" vertical="center"/>
    </xf>
    <xf borderId="11" fillId="3" fontId="5" numFmtId="9" xfId="0" applyAlignment="1" applyBorder="1" applyFill="1" applyFont="1" applyNumberFormat="1">
      <alignment horizontal="center" vertical="center"/>
    </xf>
    <xf borderId="12" fillId="4" fontId="4" numFmtId="0" xfId="0" applyAlignment="1" applyBorder="1" applyFill="1" applyFont="1">
      <alignment horizontal="center" vertical="center"/>
    </xf>
    <xf borderId="13" fillId="4" fontId="4" numFmtId="0" xfId="0" applyAlignment="1" applyBorder="1" applyFill="1" applyFont="1">
      <alignment horizontal="left" vertical="center"/>
    </xf>
    <xf borderId="14" fillId="4" fontId="5" numFmtId="9" xfId="0" applyAlignment="1" applyBorder="1" applyFill="1" applyFont="1" applyNumberFormat="1">
      <alignment horizontal="center" vertical="center"/>
    </xf>
    <xf borderId="15" fillId="2" fontId="6" numFmtId="0" xfId="0" applyAlignment="1" applyBorder="1" applyFill="1" applyFont="1">
      <alignment horizontal="center" vertical="center"/>
    </xf>
    <xf borderId="16" fillId="0" fontId="7" numFmtId="0" xfId="0" applyBorder="1" applyFont="1"/>
    <xf borderId="17" fillId="0" fontId="7" numFmtId="0" xfId="0" applyBorder="1" applyFont="1"/>
    <xf borderId="18" fillId="3" fontId="4" numFmtId="0" xfId="0" applyAlignment="1" applyBorder="1" applyFill="1" applyFont="1">
      <alignment horizontal="left" vertical="center"/>
    </xf>
    <xf borderId="19" fillId="0" fontId="7" numFmtId="0" xfId="0" applyBorder="1" applyFont="1"/>
    <xf borderId="11" fillId="3" fontId="5" numFmtId="164" xfId="0" applyAlignment="1" applyBorder="1" applyFill="1" applyFont="1" applyNumberFormat="1">
      <alignment horizontal="center" vertical="center"/>
    </xf>
    <xf borderId="18" fillId="4" fontId="4" numFmtId="0" xfId="0" applyAlignment="1" applyBorder="1" applyFill="1" applyFont="1">
      <alignment horizontal="left" vertical="center"/>
    </xf>
    <xf borderId="11" fillId="4" fontId="5" numFmtId="9" xfId="0" applyAlignment="1" applyBorder="1" applyFill="1" applyFont="1" applyNumberFormat="1">
      <alignment horizontal="center" vertical="center"/>
    </xf>
    <xf borderId="20" fillId="3" fontId="4" numFmtId="0" xfId="0" applyAlignment="1" applyBorder="1" applyFill="1" applyFont="1">
      <alignment horizontal="left" vertical="center"/>
    </xf>
    <xf borderId="21" fillId="0" fontId="7" numFmtId="0" xfId="0" applyBorder="1" applyFont="1"/>
    <xf borderId="14" fillId="3" fontId="5" numFmtId="164" xfId="0" applyAlignment="1" applyBorder="1" applyFill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11" fillId="3" fontId="5" numFmtId="165" xfId="0" applyAlignment="1" applyBorder="1" applyFill="1" applyFont="1" applyNumberFormat="1">
      <alignment horizontal="center" vertical="center"/>
    </xf>
    <xf borderId="11" fillId="4" fontId="5" numFmtId="0" xfId="0" applyAlignment="1" applyBorder="1" applyFill="1" applyFont="1">
      <alignment horizontal="center" vertical="center"/>
    </xf>
    <xf borderId="11" fillId="3" fontId="5" numFmtId="10" xfId="0" applyAlignment="1" applyBorder="1" applyFill="1" applyFont="1" applyNumberFormat="1">
      <alignment horizontal="center" vertical="center"/>
    </xf>
    <xf borderId="18" fillId="5" fontId="9" numFmtId="0" xfId="0" applyAlignment="1" applyBorder="1" applyFill="1" applyFont="1">
      <alignment horizontal="left" vertical="center"/>
    </xf>
    <xf borderId="11" fillId="5" fontId="9" numFmtId="166" xfId="0" applyAlignment="1" applyBorder="1" applyFill="1" applyFont="1" applyNumberFormat="1">
      <alignment horizontal="center" shrinkToFit="0" vertical="center" wrapText="1"/>
    </xf>
    <xf borderId="20" fillId="5" fontId="9" numFmtId="0" xfId="0" applyAlignment="1" applyBorder="1" applyFill="1" applyFont="1">
      <alignment horizontal="left" vertical="center"/>
    </xf>
    <xf borderId="14" fillId="5" fontId="9" numFmtId="166" xfId="0" applyAlignment="1" applyBorder="1" applyFill="1" applyFont="1" applyNumberFormat="1">
      <alignment horizontal="center" vertical="center"/>
    </xf>
    <xf borderId="15" fillId="2" fontId="10" numFmtId="0" xfId="0" applyAlignment="1" applyBorder="1" applyFill="1" applyFont="1">
      <alignment horizontal="center" vertical="center"/>
    </xf>
    <xf borderId="22" fillId="0" fontId="7" numFmtId="0" xfId="0" applyBorder="1" applyFont="1"/>
    <xf borderId="23" fillId="2" fontId="10" numFmtId="0" xfId="0" applyAlignment="1" applyBorder="1" applyFill="1" applyFont="1">
      <alignment horizontal="center" vertical="center"/>
    </xf>
    <xf borderId="9" fillId="3" fontId="4" numFmtId="167" xfId="0" applyAlignment="1" applyBorder="1" applyFill="1" applyFont="1" applyNumberFormat="1">
      <alignment horizontal="left" vertical="center"/>
    </xf>
    <xf borderId="10" fillId="3" fontId="5" numFmtId="165" xfId="0" applyAlignment="1" applyBorder="1" applyFill="1" applyFont="1" applyNumberFormat="1">
      <alignment horizontal="center" vertical="center"/>
    </xf>
    <xf borderId="9" fillId="4" fontId="4" numFmtId="167" xfId="0" applyAlignment="1" applyBorder="1" applyFill="1" applyFont="1" applyNumberFormat="1">
      <alignment horizontal="left" vertical="center"/>
    </xf>
    <xf borderId="10" fillId="4" fontId="5" numFmtId="165" xfId="0" applyAlignment="1" applyBorder="1" applyFill="1" applyFont="1" applyNumberFormat="1">
      <alignment horizontal="center" vertical="center"/>
    </xf>
    <xf borderId="11" fillId="4" fontId="5" numFmtId="164" xfId="0" applyAlignment="1" applyBorder="1" applyFill="1" applyFont="1" applyNumberFormat="1">
      <alignment horizontal="center" vertical="center"/>
    </xf>
    <xf borderId="12" fillId="3" fontId="4" numFmtId="167" xfId="0" applyAlignment="1" applyBorder="1" applyFill="1" applyFont="1" applyNumberFormat="1">
      <alignment horizontal="left" vertical="center"/>
    </xf>
    <xf borderId="13" fillId="3" fontId="5" numFmtId="165" xfId="0" applyAlignment="1" applyBorder="1" applyFill="1" applyFont="1" applyNumberFormat="1">
      <alignment horizontal="center" vertical="center"/>
    </xf>
    <xf borderId="0" fillId="0" fontId="11" numFmtId="0" xfId="0" applyFont="1"/>
    <xf borderId="24" fillId="2" fontId="12" numFmtId="0" xfId="0" applyAlignment="1" applyBorder="1" applyFill="1" applyFont="1">
      <alignment horizontal="center" vertical="center"/>
    </xf>
    <xf borderId="25" fillId="5" fontId="13" numFmtId="0" xfId="0" applyAlignment="1" applyBorder="1" applyFill="1" applyFont="1">
      <alignment horizontal="center" readingOrder="0" vertical="center"/>
    </xf>
    <xf borderId="12" fillId="4" fontId="4" numFmtId="0" xfId="0" applyAlignment="1" applyBorder="1" applyFill="1" applyFont="1">
      <alignment horizontal="center" vertical="center"/>
    </xf>
    <xf borderId="26" fillId="3" fontId="9" numFmtId="165" xfId="0" applyAlignment="1" applyBorder="1" applyFill="1" applyFont="1" applyNumberFormat="1">
      <alignment horizontal="center" vertical="center"/>
    </xf>
    <xf borderId="27" fillId="0" fontId="7" numFmtId="0" xfId="0" applyBorder="1" applyFont="1"/>
    <xf borderId="28" fillId="2" fontId="12" numFmtId="0" xfId="0" applyAlignment="1" applyBorder="1" applyFill="1" applyFont="1">
      <alignment horizontal="center" vertical="center"/>
    </xf>
    <xf borderId="23" fillId="2" fontId="12" numFmtId="0" xfId="0" applyAlignment="1" applyBorder="1" applyFill="1" applyFont="1">
      <alignment horizontal="center" vertical="center"/>
    </xf>
    <xf borderId="9" fillId="3" fontId="4" numFmtId="0" xfId="0" applyAlignment="1" applyBorder="1" applyFill="1" applyFont="1">
      <alignment horizontal="left" vertical="center"/>
    </xf>
    <xf borderId="10" fillId="3" fontId="4" numFmtId="9" xfId="0" applyAlignment="1" applyBorder="1" applyFill="1" applyFont="1" applyNumberFormat="1">
      <alignment horizontal="center" vertical="center"/>
    </xf>
    <xf borderId="9" fillId="4" fontId="4" numFmtId="0" xfId="0" applyAlignment="1" applyBorder="1" applyFill="1" applyFont="1">
      <alignment horizontal="left" vertical="center"/>
    </xf>
    <xf borderId="10" fillId="4" fontId="4" numFmtId="9" xfId="0" applyAlignment="1" applyBorder="1" applyFill="1" applyFont="1" applyNumberFormat="1">
      <alignment horizontal="center" vertical="center"/>
    </xf>
    <xf borderId="11" fillId="4" fontId="5" numFmtId="165" xfId="0" applyAlignment="1" applyBorder="1" applyFill="1" applyFont="1" applyNumberFormat="1">
      <alignment horizontal="center" vertical="center"/>
    </xf>
    <xf borderId="12" fillId="5" fontId="9" numFmtId="0" xfId="0" applyAlignment="1" applyBorder="1" applyFill="1" applyFont="1">
      <alignment horizontal="left" readingOrder="0" vertical="center"/>
    </xf>
    <xf borderId="13" fillId="5" fontId="9" numFmtId="0" xfId="0" applyAlignment="1" applyBorder="1" applyFill="1" applyFont="1">
      <alignment horizontal="center" vertical="center"/>
    </xf>
    <xf borderId="14" fillId="5" fontId="9" numFmtId="165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Distribuição da Carteira por Tipo de FII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13B3F"/>
              </a:solidFill>
            </c:spPr>
          </c:dPt>
          <c:dPt>
            <c:idx val="1"/>
            <c:spPr>
              <a:solidFill>
                <a:srgbClr val="C1D3CD"/>
              </a:solidFill>
            </c:spPr>
          </c:dPt>
          <c:dPt>
            <c:idx val="2"/>
            <c:spPr>
              <a:solidFill>
                <a:srgbClr val="AFBFBF"/>
              </a:solidFill>
            </c:spPr>
          </c:dPt>
          <c:dPt>
            <c:idx val="3"/>
            <c:spPr>
              <a:solidFill>
                <a:srgbClr val="9EA3A8"/>
              </a:solidFill>
            </c:spPr>
          </c:dPt>
          <c:dPt>
            <c:idx val="4"/>
            <c:spPr>
              <a:solidFill>
                <a:srgbClr val="837E89"/>
              </a:solidFill>
            </c:spPr>
          </c:dPt>
          <c:dPt>
            <c:idx val="5"/>
            <c:spPr>
              <a:solidFill>
                <a:srgbClr val="3B6264"/>
              </a:solidFill>
            </c:spPr>
          </c:dPt>
          <c:dPt>
            <c:idx val="6"/>
            <c:spPr>
              <a:solidFill>
                <a:srgbClr val="4D76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Ferramenta!$B$34:$B$40</c:f>
            </c:strRef>
          </c:cat>
          <c:val>
            <c:numRef>
              <c:f>Ferramenta!$C$34:$C$40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3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41</xdr:row>
      <xdr:rowOff>190500</xdr:rowOff>
    </xdr:from>
    <xdr:ext cx="7848600" cy="3352800"/>
    <xdr:graphicFrame>
      <xdr:nvGraphicFramePr>
        <xdr:cNvPr id="1" name="Chart 1" title="Distribuição da Carteira por Tipo de FII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276225</xdr:colOff>
      <xdr:row>0</xdr:row>
      <xdr:rowOff>57150</xdr:rowOff>
    </xdr:from>
    <xdr:ext cx="8848725" cy="20669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13B3F"/>
      </a:accent1>
      <a:accent2>
        <a:srgbClr val="C1D3CD"/>
      </a:accent2>
      <a:accent3>
        <a:srgbClr val="AFBFBF"/>
      </a:accent3>
      <a:accent4>
        <a:srgbClr val="9EA3A8"/>
      </a:accent4>
      <a:accent5>
        <a:srgbClr val="837E89"/>
      </a:accent5>
      <a:accent6>
        <a:srgbClr val="3B6264"/>
      </a:accent6>
      <a:hlink>
        <a:srgbClr val="013B3F"/>
      </a:hlink>
      <a:folHlink>
        <a:srgbClr val="013B3F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5"/>
    <col customWidth="1" min="2" max="2" width="50.5"/>
    <col customWidth="1" min="3" max="3" width="41.5"/>
    <col customWidth="1" min="4" max="4" width="22.63"/>
    <col customWidth="1" min="5" max="5" width="23.5"/>
    <col customWidth="1" hidden="1" min="6" max="6" width="14.5"/>
    <col customWidth="1" min="7" max="26" width="7.63"/>
  </cols>
  <sheetData>
    <row r="12" ht="29.25" customHeight="1">
      <c r="B12" s="22" t="s">
        <v>18</v>
      </c>
      <c r="C12" s="23"/>
      <c r="D12" s="24"/>
    </row>
    <row r="13" ht="21.0" customHeight="1">
      <c r="B13" s="25" t="s">
        <v>19</v>
      </c>
      <c r="C13" s="26"/>
      <c r="D13" s="27">
        <v>10000.0</v>
      </c>
    </row>
    <row r="14" ht="21.0" customHeight="1">
      <c r="B14" s="28" t="s">
        <v>20</v>
      </c>
      <c r="C14" s="26"/>
      <c r="D14" s="29">
        <v>0.0089</v>
      </c>
    </row>
    <row r="15" ht="21.0" customHeight="1">
      <c r="B15" s="30" t="s">
        <v>21</v>
      </c>
      <c r="C15" s="31"/>
      <c r="D15" s="32">
        <f>salario*30%*-1</f>
        <v>-3000</v>
      </c>
    </row>
    <row r="16" ht="15.75" customHeight="1">
      <c r="B16" s="33"/>
      <c r="C16" s="33"/>
      <c r="D16" s="33"/>
    </row>
    <row r="17" ht="28.5" customHeight="1">
      <c r="B17" s="22" t="s">
        <v>22</v>
      </c>
      <c r="C17" s="23"/>
      <c r="D17" s="24"/>
    </row>
    <row r="18" ht="21.0" customHeight="1">
      <c r="B18" s="25" t="s">
        <v>23</v>
      </c>
      <c r="C18" s="26"/>
      <c r="D18" s="34">
        <v>-1280.0</v>
      </c>
    </row>
    <row r="19" ht="21.0" customHeight="1">
      <c r="B19" s="28" t="s">
        <v>24</v>
      </c>
      <c r="C19" s="26"/>
      <c r="D19" s="35">
        <v>10.0</v>
      </c>
    </row>
    <row r="20" ht="21.0" customHeight="1">
      <c r="B20" s="25" t="s">
        <v>25</v>
      </c>
      <c r="C20" s="26"/>
      <c r="D20" s="36">
        <v>0.01079</v>
      </c>
    </row>
    <row r="21" ht="21.0" customHeight="1">
      <c r="B21" s="37" t="s">
        <v>26</v>
      </c>
      <c r="C21" s="26"/>
      <c r="D21" s="38">
        <f>FV(taxa_mensal,prazo_anos*12,Aporte)</f>
        <v>311403.792</v>
      </c>
    </row>
    <row r="22" ht="21.0" customHeight="1">
      <c r="B22" s="39" t="s">
        <v>27</v>
      </c>
      <c r="C22" s="31"/>
      <c r="D22" s="40">
        <f>patrimonio_acumulado*Rendimento_Carteira</f>
        <v>2771.493749</v>
      </c>
    </row>
    <row r="23" ht="15.75" customHeight="1">
      <c r="B23" s="33"/>
      <c r="C23" s="33"/>
      <c r="D23" s="33"/>
    </row>
    <row r="24" ht="25.5" customHeight="1">
      <c r="B24" s="41" t="s">
        <v>28</v>
      </c>
      <c r="C24" s="42"/>
      <c r="D24" s="43" t="s">
        <v>29</v>
      </c>
    </row>
    <row r="25" ht="21.0" customHeight="1">
      <c r="B25" s="44">
        <v>2.0</v>
      </c>
      <c r="C25" s="45">
        <f>FV(taxa_mensal,B25*12,Aporte)</f>
        <v>34851.36294</v>
      </c>
      <c r="D25" s="27">
        <f>C25*Rendimento_Carteira</f>
        <v>310.1771302</v>
      </c>
    </row>
    <row r="26" ht="21.0" customHeight="1">
      <c r="B26" s="46">
        <v>5.0</v>
      </c>
      <c r="C26" s="47">
        <f>FV(taxa_mensal,B26*12,Aporte)</f>
        <v>107234.4499</v>
      </c>
      <c r="D26" s="48">
        <f>C26*Rendimento_Carteira</f>
        <v>954.3866043</v>
      </c>
    </row>
    <row r="27" ht="21.0" customHeight="1">
      <c r="B27" s="44">
        <v>10.0</v>
      </c>
      <c r="C27" s="45">
        <f>FV(taxa_mensal,B27*12,Aporte)</f>
        <v>311403.792</v>
      </c>
      <c r="D27" s="27">
        <f>C27*Rendimento_Carteira</f>
        <v>2771.493749</v>
      </c>
    </row>
    <row r="28" ht="21.0" customHeight="1">
      <c r="B28" s="46">
        <v>20.0</v>
      </c>
      <c r="C28" s="47">
        <f>FV(taxa_mensal,B28*12,Aporte)</f>
        <v>1440253.952</v>
      </c>
      <c r="D28" s="48">
        <f>C28*Rendimento_Carteira</f>
        <v>12818.26017</v>
      </c>
    </row>
    <row r="29" ht="21.0" customHeight="1">
      <c r="B29" s="49">
        <v>30.0</v>
      </c>
      <c r="C29" s="50">
        <f>FV(taxa_mensal,B29*12,Aporte)</f>
        <v>5532377.158</v>
      </c>
      <c r="D29" s="32">
        <f>C29*Rendimento_Carteira</f>
        <v>49238.15671</v>
      </c>
    </row>
    <row r="30" ht="15.75" customHeight="1">
      <c r="D30" s="51"/>
    </row>
    <row r="31" ht="22.5" customHeight="1">
      <c r="B31" s="52" t="s">
        <v>3</v>
      </c>
      <c r="C31" s="53" t="s">
        <v>8</v>
      </c>
      <c r="D31" s="24"/>
    </row>
    <row r="32" ht="22.5" customHeight="1">
      <c r="B32" s="54" t="s">
        <v>30</v>
      </c>
      <c r="C32" s="55">
        <f>D18</f>
        <v>-1280</v>
      </c>
      <c r="D32" s="56"/>
    </row>
    <row r="33" ht="15.75" customHeight="1"/>
    <row r="34" ht="15.75" customHeight="1">
      <c r="B34" s="52" t="s">
        <v>4</v>
      </c>
      <c r="C34" s="57" t="s">
        <v>31</v>
      </c>
      <c r="D34" s="58" t="s">
        <v>32</v>
      </c>
    </row>
    <row r="35" ht="21.0" customHeight="1">
      <c r="B35" s="59" t="s">
        <v>9</v>
      </c>
      <c r="C35" s="60">
        <f>VLOOKUP(perfil_selecionado&amp;"-"&amp;B35,'Tabela de Apoio'!$A$3:$D$21,4,FALSE)</f>
        <v>0.3</v>
      </c>
      <c r="D35" s="34">
        <f>valor_investir_mensal*C35*-1</f>
        <v>384</v>
      </c>
    </row>
    <row r="36" ht="21.0" customHeight="1">
      <c r="B36" s="61" t="s">
        <v>11</v>
      </c>
      <c r="C36" s="62">
        <f>VLOOKUP(perfil_selecionado&amp;"-"&amp;B36,'Tabela de Apoio'!$A$3:$D$21,4,FALSE)</f>
        <v>0.5</v>
      </c>
      <c r="D36" s="63">
        <f>valor_investir_mensal*C36*-1</f>
        <v>640</v>
      </c>
    </row>
    <row r="37" ht="21.0" customHeight="1">
      <c r="B37" s="59" t="s">
        <v>12</v>
      </c>
      <c r="C37" s="60">
        <f>VLOOKUP(perfil_selecionado&amp;"-"&amp;B37,'Tabela de Apoio'!$A$3:$D$21,4,FALSE)</f>
        <v>0.1</v>
      </c>
      <c r="D37" s="34">
        <f>valor_investir_mensal*C37*-1</f>
        <v>128</v>
      </c>
    </row>
    <row r="38" ht="21.0" customHeight="1">
      <c r="B38" s="61" t="s">
        <v>13</v>
      </c>
      <c r="C38" s="62">
        <f>VLOOKUP(perfil_selecionado&amp;"-"&amp;B38,'Tabela de Apoio'!$A$3:$D$21,4,FALSE)</f>
        <v>0.1</v>
      </c>
      <c r="D38" s="63">
        <f>valor_investir_mensal*C38*-1</f>
        <v>128</v>
      </c>
    </row>
    <row r="39" ht="21.0" customHeight="1">
      <c r="B39" s="59" t="s">
        <v>14</v>
      </c>
      <c r="C39" s="60">
        <f>VLOOKUP(perfil_selecionado&amp;"-"&amp;B39,'Tabela de Apoio'!$A$3:$D$21,4,FALSE)</f>
        <v>0</v>
      </c>
      <c r="D39" s="34">
        <f>valor_investir_mensal*C39*-1</f>
        <v>0</v>
      </c>
    </row>
    <row r="40" ht="21.0" customHeight="1">
      <c r="B40" s="61" t="s">
        <v>15</v>
      </c>
      <c r="C40" s="62">
        <f>VLOOKUP(perfil_selecionado&amp;"-"&amp;B40,'Tabela de Apoio'!$A$3:$D$21,4,FALSE)</f>
        <v>0</v>
      </c>
      <c r="D40" s="63">
        <f>valor_investir_mensal*C40*-1</f>
        <v>0</v>
      </c>
    </row>
    <row r="41" ht="21.0" customHeight="1">
      <c r="B41" s="64" t="s">
        <v>33</v>
      </c>
      <c r="C41" s="65"/>
      <c r="D41" s="66">
        <f>SUM(D35:D40)</f>
        <v>1280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20:C20"/>
    <mergeCell ref="B21:C21"/>
    <mergeCell ref="B22:C22"/>
    <mergeCell ref="B24:C24"/>
    <mergeCell ref="C31:D31"/>
    <mergeCell ref="C32:D32"/>
    <mergeCell ref="B12:D12"/>
    <mergeCell ref="B13:C13"/>
    <mergeCell ref="B14:C14"/>
    <mergeCell ref="B15:C15"/>
    <mergeCell ref="B17:D17"/>
    <mergeCell ref="B18:C18"/>
    <mergeCell ref="B19:C19"/>
  </mergeCells>
  <dataValidations>
    <dataValidation type="list" allowBlank="1" showErrorMessage="1" sqref="C31">
      <formula1>"Conservador,Moderado,Agressivo"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16.38"/>
    <col customWidth="1" min="3" max="3" width="20.13"/>
    <col customWidth="1" min="4" max="4" width="10.75"/>
    <col customWidth="1" min="5" max="6" width="4.5"/>
    <col customWidth="1" min="7" max="7" width="23.88"/>
    <col customWidth="1" min="8" max="8" width="13.25"/>
    <col customWidth="1" min="9" max="26" width="7.63"/>
  </cols>
  <sheetData>
    <row r="1" ht="24.0" customHeight="1">
      <c r="A1" s="1" t="s">
        <v>0</v>
      </c>
    </row>
    <row r="2" ht="18.0" customHeight="1">
      <c r="A2" s="2" t="s">
        <v>1</v>
      </c>
    </row>
    <row r="3" ht="24.0" customHeight="1">
      <c r="A3" s="3" t="s">
        <v>2</v>
      </c>
      <c r="B3" s="4" t="s">
        <v>3</v>
      </c>
      <c r="C3" s="4" t="s">
        <v>4</v>
      </c>
      <c r="D3" s="5" t="s">
        <v>5</v>
      </c>
      <c r="G3" s="6" t="s">
        <v>6</v>
      </c>
      <c r="H3" s="7" t="s">
        <v>7</v>
      </c>
    </row>
    <row r="4" ht="18.0" customHeight="1">
      <c r="A4" s="8" t="str">
        <f t="shared" ref="A4:A21" si="1">B4&amp;"-"&amp;C4</f>
        <v>Conservador-PAPEL</v>
      </c>
      <c r="B4" s="9" t="s">
        <v>8</v>
      </c>
      <c r="C4" s="9" t="s">
        <v>9</v>
      </c>
      <c r="D4" s="10">
        <v>0.3</v>
      </c>
      <c r="G4" s="11" t="s">
        <v>10</v>
      </c>
      <c r="H4" s="12">
        <f>VLOOKUP(G4,A3:D22,4,FALSE)</f>
        <v>0.35</v>
      </c>
    </row>
    <row r="5" ht="18.0" customHeight="1">
      <c r="A5" s="13" t="str">
        <f t="shared" si="1"/>
        <v>Conservador-TIJOLO</v>
      </c>
      <c r="B5" s="14" t="s">
        <v>8</v>
      </c>
      <c r="C5" s="14" t="s">
        <v>11</v>
      </c>
      <c r="D5" s="15">
        <v>0.5</v>
      </c>
    </row>
    <row r="6" ht="18.0" customHeight="1">
      <c r="A6" s="16" t="str">
        <f t="shared" si="1"/>
        <v>Conservador-HÍBRIDOS</v>
      </c>
      <c r="B6" s="17" t="s">
        <v>8</v>
      </c>
      <c r="C6" s="17" t="s">
        <v>12</v>
      </c>
      <c r="D6" s="18">
        <v>0.1</v>
      </c>
    </row>
    <row r="7" ht="18.0" customHeight="1">
      <c r="A7" s="13" t="str">
        <f t="shared" si="1"/>
        <v>Conservador-FOFs</v>
      </c>
      <c r="B7" s="14" t="s">
        <v>8</v>
      </c>
      <c r="C7" s="14" t="s">
        <v>13</v>
      </c>
      <c r="D7" s="15">
        <v>0.1</v>
      </c>
    </row>
    <row r="8" ht="18.0" customHeight="1">
      <c r="A8" s="16" t="str">
        <f t="shared" si="1"/>
        <v>Conservador-DESENVOLVIMENTO</v>
      </c>
      <c r="B8" s="17" t="s">
        <v>8</v>
      </c>
      <c r="C8" s="17" t="s">
        <v>14</v>
      </c>
      <c r="D8" s="18">
        <v>0.0</v>
      </c>
    </row>
    <row r="9" ht="18.0" customHeight="1">
      <c r="A9" s="13" t="str">
        <f t="shared" si="1"/>
        <v>Conservador-HOTELARIAS</v>
      </c>
      <c r="B9" s="14" t="s">
        <v>8</v>
      </c>
      <c r="C9" s="14" t="s">
        <v>15</v>
      </c>
      <c r="D9" s="15">
        <v>0.0</v>
      </c>
    </row>
    <row r="10" ht="18.0" customHeight="1">
      <c r="A10" s="16" t="str">
        <f t="shared" si="1"/>
        <v>Moderado-PAPEL</v>
      </c>
      <c r="B10" s="17" t="s">
        <v>16</v>
      </c>
      <c r="C10" s="17" t="s">
        <v>9</v>
      </c>
      <c r="D10" s="18">
        <v>0.32</v>
      </c>
    </row>
    <row r="11" ht="18.0" customHeight="1">
      <c r="A11" s="13" t="str">
        <f t="shared" si="1"/>
        <v>Moderado-TIJOLO</v>
      </c>
      <c r="B11" s="14" t="s">
        <v>16</v>
      </c>
      <c r="C11" s="14" t="s">
        <v>11</v>
      </c>
      <c r="D11" s="15">
        <v>0.35</v>
      </c>
    </row>
    <row r="12" ht="18.0" customHeight="1">
      <c r="A12" s="16" t="str">
        <f t="shared" si="1"/>
        <v>Moderado-HÍBRIDOS</v>
      </c>
      <c r="B12" s="17" t="s">
        <v>16</v>
      </c>
      <c r="C12" s="17" t="s">
        <v>12</v>
      </c>
      <c r="D12" s="18">
        <v>0.08</v>
      </c>
    </row>
    <row r="13" ht="18.0" customHeight="1">
      <c r="A13" s="13" t="str">
        <f t="shared" si="1"/>
        <v>Moderado-FOFs</v>
      </c>
      <c r="B13" s="14" t="s">
        <v>16</v>
      </c>
      <c r="C13" s="14" t="s">
        <v>13</v>
      </c>
      <c r="D13" s="15">
        <v>0.05</v>
      </c>
    </row>
    <row r="14" ht="18.0" customHeight="1">
      <c r="A14" s="16" t="str">
        <f t="shared" si="1"/>
        <v>Moderado-DESENVOLVIMENTO</v>
      </c>
      <c r="B14" s="17" t="s">
        <v>16</v>
      </c>
      <c r="C14" s="17" t="s">
        <v>14</v>
      </c>
      <c r="D14" s="18">
        <v>0.1</v>
      </c>
    </row>
    <row r="15" ht="18.0" customHeight="1">
      <c r="A15" s="13" t="str">
        <f t="shared" si="1"/>
        <v>Moderado-HOTELARIAS</v>
      </c>
      <c r="B15" s="14" t="s">
        <v>16</v>
      </c>
      <c r="C15" s="14" t="s">
        <v>15</v>
      </c>
      <c r="D15" s="15">
        <v>0.1</v>
      </c>
    </row>
    <row r="16" ht="18.0" customHeight="1">
      <c r="A16" s="16" t="str">
        <f t="shared" si="1"/>
        <v>Agressivo-PAPEL</v>
      </c>
      <c r="B16" s="17" t="s">
        <v>17</v>
      </c>
      <c r="C16" s="17" t="s">
        <v>9</v>
      </c>
      <c r="D16" s="18">
        <v>0.5</v>
      </c>
    </row>
    <row r="17" ht="18.0" customHeight="1">
      <c r="A17" s="13" t="str">
        <f t="shared" si="1"/>
        <v>Agressivo-TIJOLO</v>
      </c>
      <c r="B17" s="14" t="s">
        <v>17</v>
      </c>
      <c r="C17" s="14" t="s">
        <v>11</v>
      </c>
      <c r="D17" s="15">
        <v>0.1</v>
      </c>
    </row>
    <row r="18" ht="18.0" customHeight="1">
      <c r="A18" s="16" t="str">
        <f t="shared" si="1"/>
        <v>Agressivo-HÍBRIDOS</v>
      </c>
      <c r="B18" s="17" t="s">
        <v>17</v>
      </c>
      <c r="C18" s="17" t="s">
        <v>12</v>
      </c>
      <c r="D18" s="18">
        <v>0.05</v>
      </c>
    </row>
    <row r="19" ht="18.0" customHeight="1">
      <c r="A19" s="13" t="str">
        <f t="shared" si="1"/>
        <v>Agressivo-FOFs</v>
      </c>
      <c r="B19" s="14" t="s">
        <v>17</v>
      </c>
      <c r="C19" s="14" t="s">
        <v>13</v>
      </c>
      <c r="D19" s="15">
        <v>0.05</v>
      </c>
    </row>
    <row r="20" ht="18.0" customHeight="1">
      <c r="A20" s="16" t="str">
        <f t="shared" si="1"/>
        <v>Agressivo-DESENVOLVIMENTO</v>
      </c>
      <c r="B20" s="17" t="s">
        <v>17</v>
      </c>
      <c r="C20" s="17" t="s">
        <v>14</v>
      </c>
      <c r="D20" s="18">
        <v>0.2</v>
      </c>
    </row>
    <row r="21" ht="18.0" customHeight="1">
      <c r="A21" s="19" t="str">
        <f t="shared" si="1"/>
        <v>Agressivo-HOTELARIAS</v>
      </c>
      <c r="B21" s="20" t="s">
        <v>17</v>
      </c>
      <c r="C21" s="20" t="s">
        <v>15</v>
      </c>
      <c r="D21" s="21">
        <v>0.1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0.75" footer="0.0" header="0.0" left="0.7" right="0.7" top="0.75"/>
  <pageSetup orientation="landscape"/>
  <drawing r:id="rId1"/>
</worksheet>
</file>